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enarios" sheetId="2" state="visible" r:id="rId2"/>
    <sheet name="Monthly_Tracker" sheetId="3" state="visible" r:id="rId3"/>
    <sheet name="Quote_Summary" sheetId="4" state="visible" r:id="rId4"/>
    <sheet name="Simple_Pric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2" borderId="1" pivotButton="0" quotePrefix="0" xfId="0"/>
    <xf numFmtId="0" fontId="0" fillId="0" borderId="1" pivotButton="0" quotePrefix="0" xfId="0"/>
    <xf numFmtId="3" fontId="0" fillId="3" borderId="1" pivotButton="0" quotePrefix="0" xfId="0"/>
    <xf numFmtId="164" fontId="0" fillId="3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0" fontId="4" fillId="4" borderId="1" pivotButton="0" quotePrefix="0" xfId="0"/>
    <xf numFmtId="4" fontId="0" fillId="0" borderId="1" pivotButton="0" quotePrefix="0" xfId="0"/>
    <xf numFmtId="164" fontId="0" fillId="2" borderId="1" pivotButton="0" quotePrefix="0" xfId="0"/>
    <xf numFmtId="1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44" customWidth="1" min="3" max="3"/>
  </cols>
  <sheetData>
    <row r="1">
      <c r="A1" s="1" t="inlineStr">
        <is>
          <t>Agentic Coach Cost + Gross Profit Model</t>
        </is>
      </c>
    </row>
    <row r="2">
      <c r="A2" t="inlineStr">
        <is>
          <t>Edit yellow cells only. All blue/white cells are calculated.</t>
        </is>
      </c>
    </row>
    <row r="4">
      <c r="A4" s="2" t="inlineStr">
        <is>
          <t>Operational Inputs</t>
        </is>
      </c>
      <c r="B4" s="3" t="n"/>
      <c r="C4" s="3" t="n"/>
    </row>
    <row r="5">
      <c r="A5" s="4" t="inlineStr">
        <is>
          <t>Users</t>
        </is>
      </c>
      <c r="B5" s="5" t="n">
        <v>500</v>
      </c>
      <c r="C5" s="4" t="inlineStr">
        <is>
          <t>Example cohort size</t>
        </is>
      </c>
    </row>
    <row r="6">
      <c r="A6" s="4" t="inlineStr">
        <is>
          <t>Sessions per user</t>
        </is>
      </c>
      <c r="B6" s="5" t="n">
        <v>30</v>
      </c>
      <c r="C6" s="4" t="inlineStr">
        <is>
          <t>Per pricing period</t>
        </is>
      </c>
    </row>
    <row r="7">
      <c r="A7" s="4" t="inlineStr">
        <is>
          <t>Session duration (minutes)</t>
        </is>
      </c>
      <c r="B7" s="5" t="n">
        <v>15</v>
      </c>
      <c r="C7" s="4" t="inlineStr">
        <is>
          <t>Current design cap</t>
        </is>
      </c>
    </row>
    <row r="8">
      <c r="A8" s="4" t="inlineStr">
        <is>
          <t>Chat turns per session</t>
        </is>
      </c>
      <c r="B8" s="5" t="n">
        <v>18</v>
      </c>
      <c r="C8" s="4" t="inlineStr">
        <is>
          <t>Average</t>
        </is>
      </c>
    </row>
    <row r="9">
      <c r="A9" s="4" t="inlineStr">
        <is>
          <t>Input tokens per turn</t>
        </is>
      </c>
      <c r="B9" s="5" t="n">
        <v>1400</v>
      </c>
      <c r="C9" s="4" t="inlineStr">
        <is>
          <t>LLM prompt + history</t>
        </is>
      </c>
    </row>
    <row r="10">
      <c r="A10" s="4" t="inlineStr">
        <is>
          <t>Output tokens per turn</t>
        </is>
      </c>
      <c r="B10" s="5" t="n">
        <v>180</v>
      </c>
      <c r="C10" s="4" t="inlineStr">
        <is>
          <t>Assistant response</t>
        </is>
      </c>
    </row>
    <row r="11">
      <c r="A11" s="4" t="inlineStr">
        <is>
          <t>TTS minutes per session</t>
        </is>
      </c>
      <c r="B11" s="5" t="n">
        <v>6</v>
      </c>
      <c r="C11" s="4" t="inlineStr">
        <is>
          <t>Assistant spoken minutes</t>
        </is>
      </c>
    </row>
    <row r="12">
      <c r="A12" s="4" t="inlineStr">
        <is>
          <t>STT API minutes per session</t>
        </is>
      </c>
      <c r="B12" s="5" t="n">
        <v>0.5</v>
      </c>
      <c r="C12" s="4" t="inlineStr">
        <is>
          <t>Fallback/upload STT only</t>
        </is>
      </c>
    </row>
    <row r="13">
      <c r="A13" s="2" t="inlineStr">
        <is>
          <t>API Pricing Inputs (USD)</t>
        </is>
      </c>
      <c r="B13" s="3" t="n"/>
      <c r="C13" s="3" t="n"/>
    </row>
    <row r="14">
      <c r="A14" s="4" t="inlineStr">
        <is>
          <t>LLM input price ($ per 1M tokens)</t>
        </is>
      </c>
      <c r="B14" s="6" t="n">
        <v>0.15</v>
      </c>
      <c r="C14" s="4" t="inlineStr">
        <is>
          <t>gpt-4o-mini reference</t>
        </is>
      </c>
    </row>
    <row r="15">
      <c r="A15" s="4" t="inlineStr">
        <is>
          <t>LLM output price ($ per 1M tokens)</t>
        </is>
      </c>
      <c r="B15" s="6" t="n">
        <v>0.6</v>
      </c>
      <c r="C15" s="4" t="inlineStr">
        <is>
          <t>gpt-4o-mini reference</t>
        </is>
      </c>
    </row>
    <row r="16">
      <c r="A16" s="4" t="inlineStr">
        <is>
          <t>TTS price ($ per minute)</t>
        </is>
      </c>
      <c r="B16" s="6" t="n">
        <v>0.015</v>
      </c>
      <c r="C16" s="4" t="inlineStr">
        <is>
          <t>gpt-4o-mini-tts assumption</t>
        </is>
      </c>
    </row>
    <row r="17">
      <c r="A17" s="4" t="inlineStr">
        <is>
          <t>STT price ($ per minute)</t>
        </is>
      </c>
      <c r="B17" s="6" t="n">
        <v>0.006</v>
      </c>
      <c r="C17" s="4" t="inlineStr">
        <is>
          <t>whisper/transcribe benchmark</t>
        </is>
      </c>
    </row>
    <row r="18">
      <c r="A18" s="2" t="inlineStr">
        <is>
          <t>Hosting + Fixed Monthly Costs (USD)</t>
        </is>
      </c>
      <c r="B18" s="3" t="n"/>
      <c r="C18" s="3" t="n"/>
    </row>
    <row r="19">
      <c r="A19" s="4" t="inlineStr">
        <is>
          <t>Vercel fixed monthly cost</t>
        </is>
      </c>
      <c r="B19" s="6" t="n">
        <v>20</v>
      </c>
      <c r="C19" s="4" t="inlineStr">
        <is>
          <t>Pro plan baseline</t>
        </is>
      </c>
    </row>
    <row r="20">
      <c r="A20" s="4" t="inlineStr">
        <is>
          <t>MongoDB fixed monthly cost</t>
        </is>
      </c>
      <c r="B20" s="6" t="n">
        <v>30</v>
      </c>
      <c r="C20" s="4" t="inlineStr">
        <is>
          <t>Atlas flex baseline</t>
        </is>
      </c>
    </row>
    <row r="21">
      <c r="A21" s="4" t="inlineStr">
        <is>
          <t>Other fixed monthly costs</t>
        </is>
      </c>
      <c r="B21" s="6" t="n">
        <v>0</v>
      </c>
      <c r="C21" s="4" t="inlineStr">
        <is>
          <t>Monitoring, logging, etc.</t>
        </is>
      </c>
    </row>
    <row r="22">
      <c r="A22" s="2" t="inlineStr">
        <is>
          <t>Commercial Inputs (USD)</t>
        </is>
      </c>
      <c r="B22" s="3" t="n"/>
      <c r="C22" s="3" t="n"/>
    </row>
    <row r="23">
      <c r="A23" s="4" t="inlineStr">
        <is>
          <t>Price per user (monthly)</t>
        </is>
      </c>
      <c r="B23" s="6" t="n">
        <v>19</v>
      </c>
      <c r="C23" s="4" t="inlineStr">
        <is>
          <t>Retail/subscription</t>
        </is>
      </c>
    </row>
    <row r="24">
      <c r="A24" s="4" t="inlineStr">
        <is>
          <t>Price per user (annual)</t>
        </is>
      </c>
      <c r="B24" s="6" t="n">
        <v>180</v>
      </c>
      <c r="C24" s="4" t="inlineStr">
        <is>
          <t>Optional annual package</t>
        </is>
      </c>
    </row>
    <row r="25">
      <c r="A25" s="2" t="inlineStr">
        <is>
          <t>Derived Volumes</t>
        </is>
      </c>
      <c r="B25" s="3" t="n"/>
      <c r="C25" s="3" t="n"/>
    </row>
    <row r="26">
      <c r="A26" s="4" t="inlineStr">
        <is>
          <t>Total sessions</t>
        </is>
      </c>
      <c r="B26" s="7">
        <f>B5*B6</f>
        <v/>
      </c>
      <c r="C26" s="4" t="inlineStr">
        <is>
          <t>Users x sessions per user</t>
        </is>
      </c>
    </row>
    <row r="27">
      <c r="A27" s="4" t="inlineStr">
        <is>
          <t>Total coaching minutes</t>
        </is>
      </c>
      <c r="B27" s="7">
        <f>B26*B7</f>
        <v/>
      </c>
      <c r="C27" s="4" t="inlineStr"/>
    </row>
    <row r="28">
      <c r="A28" s="4" t="inlineStr">
        <is>
          <t>Total chat turns</t>
        </is>
      </c>
      <c r="B28" s="7">
        <f>B26*B8</f>
        <v/>
      </c>
      <c r="C28" s="4" t="inlineStr"/>
    </row>
    <row r="29">
      <c r="A29" s="4" t="inlineStr">
        <is>
          <t>Total input tokens</t>
        </is>
      </c>
      <c r="B29" s="7">
        <f>B28*B9</f>
        <v/>
      </c>
      <c r="C29" s="4" t="inlineStr"/>
    </row>
    <row r="30">
      <c r="A30" s="4" t="inlineStr">
        <is>
          <t>Total output tokens</t>
        </is>
      </c>
      <c r="B30" s="7">
        <f>B28*B10</f>
        <v/>
      </c>
      <c r="C30" s="4" t="inlineStr"/>
    </row>
    <row r="31">
      <c r="A31" s="4" t="inlineStr">
        <is>
          <t>Total TTS minutes</t>
        </is>
      </c>
      <c r="B31" s="7">
        <f>B26*B11</f>
        <v/>
      </c>
      <c r="C31" s="4" t="inlineStr"/>
    </row>
    <row r="32">
      <c r="A32" s="4" t="inlineStr">
        <is>
          <t>Total STT API minutes</t>
        </is>
      </c>
      <c r="B32" s="7">
        <f>B26*B12</f>
        <v/>
      </c>
      <c r="C32" s="4" t="inlineStr"/>
    </row>
    <row r="33">
      <c r="A33" s="2" t="inlineStr">
        <is>
          <t>Cost Breakdown (USD)</t>
        </is>
      </c>
      <c r="B33" s="3" t="n"/>
      <c r="C33" s="3" t="n"/>
    </row>
    <row r="34">
      <c r="A34" s="4" t="inlineStr">
        <is>
          <t>LLM input cost</t>
        </is>
      </c>
      <c r="B34" s="8">
        <f>B29/1000000*B14</f>
        <v/>
      </c>
      <c r="C34" s="4" t="inlineStr"/>
    </row>
    <row r="35">
      <c r="A35" s="4" t="inlineStr">
        <is>
          <t>LLM output cost</t>
        </is>
      </c>
      <c r="B35" s="8">
        <f>B30/1000000*B15</f>
        <v/>
      </c>
      <c r="C35" s="4" t="inlineStr"/>
    </row>
    <row r="36">
      <c r="A36" s="4" t="inlineStr">
        <is>
          <t>TTS cost</t>
        </is>
      </c>
      <c r="B36" s="8">
        <f>B31*B16</f>
        <v/>
      </c>
      <c r="C36" s="4" t="inlineStr"/>
    </row>
    <row r="37">
      <c r="A37" s="4" t="inlineStr">
        <is>
          <t>STT cost</t>
        </is>
      </c>
      <c r="B37" s="8">
        <f>B32*B17</f>
        <v/>
      </c>
      <c r="C37" s="4" t="inlineStr"/>
    </row>
    <row r="38">
      <c r="A38" s="4" t="inlineStr">
        <is>
          <t>Variable AI cost total</t>
        </is>
      </c>
      <c r="B38" s="8">
        <f>SUM(B34:B37)</f>
        <v/>
      </c>
      <c r="C38" s="4" t="inlineStr"/>
    </row>
    <row r="39">
      <c r="A39" s="4" t="inlineStr">
        <is>
          <t>Fixed hosting cost total</t>
        </is>
      </c>
      <c r="B39" s="8">
        <f>SUM(B19:B21)</f>
        <v/>
      </c>
      <c r="C39" s="4" t="inlineStr"/>
    </row>
    <row r="40">
      <c r="A40" s="4" t="inlineStr">
        <is>
          <t>Total run cost</t>
        </is>
      </c>
      <c r="B40" s="8">
        <f>B38+B39</f>
        <v/>
      </c>
      <c r="C40" s="4" t="inlineStr"/>
    </row>
    <row r="41">
      <c r="A41" s="4" t="inlineStr">
        <is>
          <t>Variable cost per user</t>
        </is>
      </c>
      <c r="B41" s="8">
        <f>IF(B5=0,0,B38/B5)</f>
        <v/>
      </c>
      <c r="C41" s="4" t="inlineStr">
        <is>
          <t>Use for monthly tracker</t>
        </is>
      </c>
    </row>
    <row r="42">
      <c r="A42" s="4" t="inlineStr">
        <is>
          <t>Total cost per user (incl fixed)</t>
        </is>
      </c>
      <c r="B42" s="8">
        <f>IF(B5=0,0,B40/B5)</f>
        <v/>
      </c>
      <c r="C42" s="4" t="inlineStr"/>
    </row>
    <row r="43">
      <c r="A43" s="4" t="inlineStr">
        <is>
          <t>Cost per session</t>
        </is>
      </c>
      <c r="B43" s="8">
        <f>IF(B26=0,0,B40/B26)</f>
        <v/>
      </c>
      <c r="C43" s="4" t="inlineStr"/>
    </row>
    <row r="44">
      <c r="A44" s="2" t="inlineStr">
        <is>
          <t>Revenue + Gross Profit (USD)</t>
        </is>
      </c>
      <c r="B44" s="3" t="n"/>
      <c r="C44" s="3" t="n"/>
    </row>
    <row r="45">
      <c r="A45" s="4" t="inlineStr">
        <is>
          <t>Total revenue (monthly)</t>
        </is>
      </c>
      <c r="B45" s="8">
        <f>B5*B23</f>
        <v/>
      </c>
      <c r="C45" s="4" t="inlineStr"/>
    </row>
    <row r="46">
      <c r="A46" s="4" t="inlineStr">
        <is>
          <t>Gross profit</t>
        </is>
      </c>
      <c r="B46" s="8">
        <f>B45-B40</f>
        <v/>
      </c>
      <c r="C46" s="4" t="inlineStr"/>
    </row>
    <row r="47">
      <c r="A47" s="4" t="inlineStr">
        <is>
          <t>Gross margin %</t>
        </is>
      </c>
      <c r="B47" s="9">
        <f>IF(B45=0,0,B46/B45)</f>
        <v/>
      </c>
      <c r="C47" s="4" t="inlineStr"/>
    </row>
    <row r="48">
      <c r="A48" s="4" t="inlineStr">
        <is>
          <t>Annualized revenue (if monthly price)</t>
        </is>
      </c>
      <c r="B48" s="8">
        <f>B45*12</f>
        <v/>
      </c>
      <c r="C48" s="4" t="inlineStr"/>
    </row>
    <row r="49">
      <c r="A49" s="4" t="inlineStr">
        <is>
          <t>Annualized gross profit</t>
        </is>
      </c>
      <c r="B49" s="8">
        <f>B46*12</f>
        <v/>
      </c>
      <c r="C49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38" customWidth="1" min="4" max="4"/>
  </cols>
  <sheetData>
    <row r="1">
      <c r="A1" s="10" t="inlineStr">
        <is>
          <t>Scenario Comparison</t>
        </is>
      </c>
    </row>
    <row r="2">
      <c r="A2" t="inlineStr">
        <is>
          <t>Baseline pulls from Model inputs. Edit Optimized assumptions in column C.</t>
        </is>
      </c>
    </row>
    <row r="4">
      <c r="A4" s="11" t="inlineStr">
        <is>
          <t>Metric</t>
        </is>
      </c>
      <c r="B4" s="11" t="inlineStr">
        <is>
          <t>Baseline</t>
        </is>
      </c>
      <c r="C4" s="11" t="inlineStr">
        <is>
          <t>Optimized</t>
        </is>
      </c>
      <c r="D4" s="11" t="inlineStr">
        <is>
          <t>Notes</t>
        </is>
      </c>
    </row>
    <row r="5">
      <c r="A5" s="4" t="inlineStr">
        <is>
          <t>Users</t>
        </is>
      </c>
      <c r="B5" s="4">
        <f>Model!B5</f>
        <v/>
      </c>
      <c r="C5" s="4">
        <f>Model!B5</f>
        <v/>
      </c>
      <c r="D5" s="4" t="inlineStr"/>
    </row>
    <row r="6">
      <c r="A6" s="4" t="inlineStr">
        <is>
          <t>Sessions per user</t>
        </is>
      </c>
      <c r="B6" s="4">
        <f>Model!B6</f>
        <v/>
      </c>
      <c r="C6" s="4">
        <f>Model!B6</f>
        <v/>
      </c>
      <c r="D6" s="4" t="inlineStr"/>
    </row>
    <row r="7">
      <c r="A7" s="4" t="inlineStr">
        <is>
          <t>Session minutes</t>
        </is>
      </c>
      <c r="B7" s="4">
        <f>Model!B7</f>
        <v/>
      </c>
      <c r="C7" s="4">
        <f>Model!B7</f>
        <v/>
      </c>
      <c r="D7" s="4" t="inlineStr"/>
    </row>
    <row r="8">
      <c r="A8" s="4" t="inlineStr">
        <is>
          <t>Chat turns/session</t>
        </is>
      </c>
      <c r="B8" s="4">
        <f>Model!B8</f>
        <v/>
      </c>
      <c r="C8" s="4">
        <f>Model!B8</f>
        <v/>
      </c>
      <c r="D8" s="4" t="inlineStr"/>
    </row>
    <row r="9">
      <c r="A9" s="4" t="inlineStr">
        <is>
          <t>Input tokens/turn</t>
        </is>
      </c>
      <c r="B9" s="12">
        <f>Model!B9</f>
        <v/>
      </c>
      <c r="C9" s="12" t="n">
        <v>1200</v>
      </c>
      <c r="D9" s="4" t="inlineStr">
        <is>
          <t>Lower via prompt compaction/caching</t>
        </is>
      </c>
    </row>
    <row r="10">
      <c r="A10" s="4" t="inlineStr">
        <is>
          <t>Output tokens/turn</t>
        </is>
      </c>
      <c r="B10" s="12">
        <f>Model!B10</f>
        <v/>
      </c>
      <c r="C10" s="12" t="n">
        <v>150</v>
      </c>
      <c r="D10" s="4" t="inlineStr">
        <is>
          <t>Shorter responses</t>
        </is>
      </c>
    </row>
    <row r="11">
      <c r="A11" s="4" t="inlineStr">
        <is>
          <t>TTS mins/session</t>
        </is>
      </c>
      <c r="B11" s="12">
        <f>Model!B11</f>
        <v/>
      </c>
      <c r="C11" s="12" t="n">
        <v>4</v>
      </c>
      <c r="D11" s="4" t="inlineStr">
        <is>
          <t>Most impactful cost lever</t>
        </is>
      </c>
    </row>
    <row r="12">
      <c r="A12" s="4" t="inlineStr">
        <is>
          <t>STT mins/session</t>
        </is>
      </c>
      <c r="B12" s="12">
        <f>Model!B12</f>
        <v/>
      </c>
      <c r="C12" s="12" t="n">
        <v>0.25</v>
      </c>
      <c r="D12" s="4" t="inlineStr">
        <is>
          <t>Fallback only</t>
        </is>
      </c>
    </row>
    <row r="13">
      <c r="A13" s="4" t="inlineStr">
        <is>
          <t>LLM input $/1M</t>
        </is>
      </c>
      <c r="B13" s="12">
        <f>Model!B14</f>
        <v/>
      </c>
      <c r="C13" s="12">
        <f>Model!B14</f>
        <v/>
      </c>
      <c r="D13" s="4" t="inlineStr"/>
    </row>
    <row r="14">
      <c r="A14" s="4" t="inlineStr">
        <is>
          <t>LLM output $/1M</t>
        </is>
      </c>
      <c r="B14" s="12">
        <f>Model!B15</f>
        <v/>
      </c>
      <c r="C14" s="12">
        <f>Model!B15</f>
        <v/>
      </c>
      <c r="D14" s="4" t="inlineStr"/>
    </row>
    <row r="15">
      <c r="A15" s="4" t="inlineStr">
        <is>
          <t>TTS $/min</t>
        </is>
      </c>
      <c r="B15" s="12">
        <f>Model!B16</f>
        <v/>
      </c>
      <c r="C15" s="12">
        <f>Model!B16</f>
        <v/>
      </c>
      <c r="D15" s="4" t="inlineStr"/>
    </row>
    <row r="16">
      <c r="A16" s="4" t="inlineStr">
        <is>
          <t>STT $/min</t>
        </is>
      </c>
      <c r="B16" s="12">
        <f>Model!B17</f>
        <v/>
      </c>
      <c r="C16" s="12">
        <f>Model!B17</f>
        <v/>
      </c>
      <c r="D16" s="4" t="inlineStr"/>
    </row>
    <row r="18">
      <c r="A18" s="2" t="inlineStr">
        <is>
          <t>Computed Costs and Profit</t>
        </is>
      </c>
      <c r="B18" s="3" t="n"/>
      <c r="C18" s="3" t="n"/>
      <c r="D18" s="3" t="n"/>
    </row>
    <row r="19">
      <c r="A19" s="4" t="inlineStr">
        <is>
          <t>Total sessions</t>
        </is>
      </c>
      <c r="B19" s="4">
        <f>B5*B6</f>
        <v/>
      </c>
      <c r="C19" s="4">
        <f>C5*C6</f>
        <v/>
      </c>
      <c r="D19" s="4" t="inlineStr"/>
    </row>
    <row r="20">
      <c r="A20" s="4" t="inlineStr">
        <is>
          <t>LLM input cost</t>
        </is>
      </c>
      <c r="B20" s="8">
        <f>B14*B8*B9*B17/1000000</f>
        <v/>
      </c>
      <c r="C20" s="8">
        <f>C14*C8*C9*C17/1000000</f>
        <v/>
      </c>
      <c r="D20" s="4" t="inlineStr"/>
    </row>
    <row r="21">
      <c r="A21" s="4" t="inlineStr">
        <is>
          <t>LLM output cost</t>
        </is>
      </c>
      <c r="B21" s="8">
        <f>B14*B8*B10*B18/1000000</f>
        <v/>
      </c>
      <c r="C21" s="8">
        <f>C14*C8*C10*C18/1000000</f>
        <v/>
      </c>
      <c r="D21" s="4" t="inlineStr"/>
    </row>
    <row r="22">
      <c r="A22" s="4" t="inlineStr">
        <is>
          <t>TTS cost</t>
        </is>
      </c>
      <c r="B22" s="8">
        <f>B14*B11*B19</f>
        <v/>
      </c>
      <c r="C22" s="8">
        <f>C14*C11*C19</f>
        <v/>
      </c>
      <c r="D22" s="4" t="inlineStr"/>
    </row>
    <row r="23">
      <c r="A23" s="4" t="inlineStr">
        <is>
          <t>STT cost</t>
        </is>
      </c>
      <c r="B23" s="8">
        <f>B14*B12*B20</f>
        <v/>
      </c>
      <c r="C23" s="8">
        <f>C14*C12*C20</f>
        <v/>
      </c>
      <c r="D23" s="4" t="inlineStr"/>
    </row>
    <row r="24">
      <c r="A24" s="4" t="inlineStr">
        <is>
          <t>Variable AI total</t>
        </is>
      </c>
      <c r="B24" s="8">
        <f>SUM(B20:B23)</f>
        <v/>
      </c>
      <c r="C24" s="8">
        <f>SUM(C20:C23)</f>
        <v/>
      </c>
      <c r="D24" s="4" t="inlineStr"/>
    </row>
    <row r="25">
      <c r="A25" s="4" t="inlineStr">
        <is>
          <t>Fixed hosting</t>
        </is>
      </c>
      <c r="B25" s="8">
        <f>Model!B39</f>
        <v/>
      </c>
      <c r="C25" s="8">
        <f>Model!B39</f>
        <v/>
      </c>
      <c r="D25" s="4" t="inlineStr"/>
    </row>
    <row r="26">
      <c r="A26" s="4" t="inlineStr">
        <is>
          <t>Total run cost</t>
        </is>
      </c>
      <c r="B26" s="8">
        <f>B24+B25</f>
        <v/>
      </c>
      <c r="C26" s="8">
        <f>C24+C25</f>
        <v/>
      </c>
      <c r="D26" s="4" t="inlineStr"/>
    </row>
    <row r="27">
      <c r="A27" s="4" t="inlineStr">
        <is>
          <t>Revenue</t>
        </is>
      </c>
      <c r="B27" s="8">
        <f>B5*Model!B23</f>
        <v/>
      </c>
      <c r="C27" s="8">
        <f>C5*Model!B23</f>
        <v/>
      </c>
      <c r="D27" s="4" t="inlineStr"/>
    </row>
    <row r="28">
      <c r="A28" s="4" t="inlineStr">
        <is>
          <t>Gross profit</t>
        </is>
      </c>
      <c r="B28" s="8">
        <f>B27-B26</f>
        <v/>
      </c>
      <c r="C28" s="8">
        <f>C27-C26</f>
        <v/>
      </c>
      <c r="D28" s="4" t="inlineStr"/>
    </row>
    <row r="29">
      <c r="A29" s="4" t="inlineStr">
        <is>
          <t>Gross margin %</t>
        </is>
      </c>
      <c r="B29" s="9">
        <f>IF(B27=0,0,B28/B27)</f>
        <v/>
      </c>
      <c r="C29" s="9">
        <f>IF(C27=0,0,C28/C27)</f>
        <v/>
      </c>
      <c r="D29" s="4" t="inlineStr"/>
    </row>
    <row r="30">
      <c r="A30" s="4" t="inlineStr">
        <is>
          <t>Savings vs baseline</t>
        </is>
      </c>
      <c r="B30" s="8" t="inlineStr"/>
      <c r="C30" s="8">
        <f>B26-C26</f>
        <v/>
      </c>
      <c r="D30" s="4" t="inlineStr">
        <is>
          <t>Positive means optimized is cheaper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>
      <c r="A1" s="10" t="inlineStr">
        <is>
          <t>Monthly Cost + Gross Profit Tracker</t>
        </is>
      </c>
    </row>
    <row r="2">
      <c r="A2" t="inlineStr">
        <is>
          <t>Edit Active Users, Sessions/User, and Price/User as needed. Cost/User is linked from Model variable cost.</t>
        </is>
      </c>
    </row>
    <row r="4">
      <c r="A4" s="11" t="inlineStr">
        <is>
          <t>Month</t>
        </is>
      </c>
      <c r="B4" s="11" t="inlineStr">
        <is>
          <t>Active Users</t>
        </is>
      </c>
      <c r="C4" s="11" t="inlineStr">
        <is>
          <t>Sessions/User</t>
        </is>
      </c>
      <c r="D4" s="11" t="inlineStr">
        <is>
          <t>Price/User</t>
        </is>
      </c>
      <c r="E4" s="11" t="inlineStr">
        <is>
          <t>Revenue</t>
        </is>
      </c>
      <c r="F4" s="11" t="inlineStr">
        <is>
          <t>Variable Cost/User</t>
        </is>
      </c>
      <c r="G4" s="11" t="inlineStr">
        <is>
          <t>Fixed Cost</t>
        </is>
      </c>
      <c r="H4" s="11" t="inlineStr">
        <is>
          <t>Total Cost</t>
        </is>
      </c>
      <c r="I4" s="11" t="inlineStr">
        <is>
          <t>Gross Profit</t>
        </is>
      </c>
      <c r="J4" s="11" t="inlineStr">
        <is>
          <t>Gross Margin %</t>
        </is>
      </c>
    </row>
    <row r="5">
      <c r="A5" s="4" t="inlineStr">
        <is>
          <t>Jan</t>
        </is>
      </c>
      <c r="B5" s="4">
        <f>Model!B5</f>
        <v/>
      </c>
      <c r="C5" s="4">
        <f>Model!B6</f>
        <v/>
      </c>
      <c r="D5" s="8">
        <f>Model!B23</f>
        <v/>
      </c>
      <c r="E5" s="8">
        <f>B5*D5</f>
        <v/>
      </c>
      <c r="F5" s="8">
        <f>Model!B41</f>
        <v/>
      </c>
      <c r="G5" s="8">
        <f>Model!B39</f>
        <v/>
      </c>
      <c r="H5" s="8">
        <f>B5*F5+G5</f>
        <v/>
      </c>
      <c r="I5" s="8">
        <f>E5-H5</f>
        <v/>
      </c>
      <c r="J5" s="9">
        <f>IF(E5=0,0,I5/E5)</f>
        <v/>
      </c>
    </row>
    <row r="6">
      <c r="A6" s="4" t="inlineStr">
        <is>
          <t>Feb</t>
        </is>
      </c>
      <c r="B6" s="4">
        <f>Model!B5</f>
        <v/>
      </c>
      <c r="C6" s="4">
        <f>Model!B6</f>
        <v/>
      </c>
      <c r="D6" s="8">
        <f>Model!B23</f>
        <v/>
      </c>
      <c r="E6" s="8">
        <f>B6*D6</f>
        <v/>
      </c>
      <c r="F6" s="8">
        <f>Model!B41</f>
        <v/>
      </c>
      <c r="G6" s="8">
        <f>Model!B39</f>
        <v/>
      </c>
      <c r="H6" s="8">
        <f>B6*F6+G6</f>
        <v/>
      </c>
      <c r="I6" s="8">
        <f>E6-H6</f>
        <v/>
      </c>
      <c r="J6" s="9">
        <f>IF(E6=0,0,I6/E6)</f>
        <v/>
      </c>
    </row>
    <row r="7">
      <c r="A7" s="4" t="inlineStr">
        <is>
          <t>Mar</t>
        </is>
      </c>
      <c r="B7" s="4">
        <f>Model!B5</f>
        <v/>
      </c>
      <c r="C7" s="4">
        <f>Model!B6</f>
        <v/>
      </c>
      <c r="D7" s="8">
        <f>Model!B23</f>
        <v/>
      </c>
      <c r="E7" s="8">
        <f>B7*D7</f>
        <v/>
      </c>
      <c r="F7" s="8">
        <f>Model!B41</f>
        <v/>
      </c>
      <c r="G7" s="8">
        <f>Model!B39</f>
        <v/>
      </c>
      <c r="H7" s="8">
        <f>B7*F7+G7</f>
        <v/>
      </c>
      <c r="I7" s="8">
        <f>E7-H7</f>
        <v/>
      </c>
      <c r="J7" s="9">
        <f>IF(E7=0,0,I7/E7)</f>
        <v/>
      </c>
    </row>
    <row r="8">
      <c r="A8" s="4" t="inlineStr">
        <is>
          <t>Apr</t>
        </is>
      </c>
      <c r="B8" s="4">
        <f>Model!B5</f>
        <v/>
      </c>
      <c r="C8" s="4">
        <f>Model!B6</f>
        <v/>
      </c>
      <c r="D8" s="8">
        <f>Model!B23</f>
        <v/>
      </c>
      <c r="E8" s="8">
        <f>B8*D8</f>
        <v/>
      </c>
      <c r="F8" s="8">
        <f>Model!B41</f>
        <v/>
      </c>
      <c r="G8" s="8">
        <f>Model!B39</f>
        <v/>
      </c>
      <c r="H8" s="8">
        <f>B8*F8+G8</f>
        <v/>
      </c>
      <c r="I8" s="8">
        <f>E8-H8</f>
        <v/>
      </c>
      <c r="J8" s="9">
        <f>IF(E8=0,0,I8/E8)</f>
        <v/>
      </c>
    </row>
    <row r="9">
      <c r="A9" s="4" t="inlineStr">
        <is>
          <t>May</t>
        </is>
      </c>
      <c r="B9" s="4">
        <f>Model!B5</f>
        <v/>
      </c>
      <c r="C9" s="4">
        <f>Model!B6</f>
        <v/>
      </c>
      <c r="D9" s="8">
        <f>Model!B23</f>
        <v/>
      </c>
      <c r="E9" s="8">
        <f>B9*D9</f>
        <v/>
      </c>
      <c r="F9" s="8">
        <f>Model!B41</f>
        <v/>
      </c>
      <c r="G9" s="8">
        <f>Model!B39</f>
        <v/>
      </c>
      <c r="H9" s="8">
        <f>B9*F9+G9</f>
        <v/>
      </c>
      <c r="I9" s="8">
        <f>E9-H9</f>
        <v/>
      </c>
      <c r="J9" s="9">
        <f>IF(E9=0,0,I9/E9)</f>
        <v/>
      </c>
    </row>
    <row r="10">
      <c r="A10" s="4" t="inlineStr">
        <is>
          <t>Jun</t>
        </is>
      </c>
      <c r="B10" s="4">
        <f>Model!B5</f>
        <v/>
      </c>
      <c r="C10" s="4">
        <f>Model!B6</f>
        <v/>
      </c>
      <c r="D10" s="8">
        <f>Model!B23</f>
        <v/>
      </c>
      <c r="E10" s="8">
        <f>B10*D10</f>
        <v/>
      </c>
      <c r="F10" s="8">
        <f>Model!B41</f>
        <v/>
      </c>
      <c r="G10" s="8">
        <f>Model!B39</f>
        <v/>
      </c>
      <c r="H10" s="8">
        <f>B10*F10+G10</f>
        <v/>
      </c>
      <c r="I10" s="8">
        <f>E10-H10</f>
        <v/>
      </c>
      <c r="J10" s="9">
        <f>IF(E10=0,0,I10/E10)</f>
        <v/>
      </c>
    </row>
    <row r="11">
      <c r="A11" s="4" t="inlineStr">
        <is>
          <t>Jul</t>
        </is>
      </c>
      <c r="B11" s="4">
        <f>Model!B5</f>
        <v/>
      </c>
      <c r="C11" s="4">
        <f>Model!B6</f>
        <v/>
      </c>
      <c r="D11" s="8">
        <f>Model!B23</f>
        <v/>
      </c>
      <c r="E11" s="8">
        <f>B11*D11</f>
        <v/>
      </c>
      <c r="F11" s="8">
        <f>Model!B41</f>
        <v/>
      </c>
      <c r="G11" s="8">
        <f>Model!B39</f>
        <v/>
      </c>
      <c r="H11" s="8">
        <f>B11*F11+G11</f>
        <v/>
      </c>
      <c r="I11" s="8">
        <f>E11-H11</f>
        <v/>
      </c>
      <c r="J11" s="9">
        <f>IF(E11=0,0,I11/E11)</f>
        <v/>
      </c>
    </row>
    <row r="12">
      <c r="A12" s="4" t="inlineStr">
        <is>
          <t>Aug</t>
        </is>
      </c>
      <c r="B12" s="4">
        <f>Model!B5</f>
        <v/>
      </c>
      <c r="C12" s="4">
        <f>Model!B6</f>
        <v/>
      </c>
      <c r="D12" s="8">
        <f>Model!B23</f>
        <v/>
      </c>
      <c r="E12" s="8">
        <f>B12*D12</f>
        <v/>
      </c>
      <c r="F12" s="8">
        <f>Model!B41</f>
        <v/>
      </c>
      <c r="G12" s="8">
        <f>Model!B39</f>
        <v/>
      </c>
      <c r="H12" s="8">
        <f>B12*F12+G12</f>
        <v/>
      </c>
      <c r="I12" s="8">
        <f>E12-H12</f>
        <v/>
      </c>
      <c r="J12" s="9">
        <f>IF(E12=0,0,I12/E12)</f>
        <v/>
      </c>
    </row>
    <row r="13">
      <c r="A13" s="4" t="inlineStr">
        <is>
          <t>Sep</t>
        </is>
      </c>
      <c r="B13" s="4">
        <f>Model!B5</f>
        <v/>
      </c>
      <c r="C13" s="4">
        <f>Model!B6</f>
        <v/>
      </c>
      <c r="D13" s="8">
        <f>Model!B23</f>
        <v/>
      </c>
      <c r="E13" s="8">
        <f>B13*D13</f>
        <v/>
      </c>
      <c r="F13" s="8">
        <f>Model!B41</f>
        <v/>
      </c>
      <c r="G13" s="8">
        <f>Model!B39</f>
        <v/>
      </c>
      <c r="H13" s="8">
        <f>B13*F13+G13</f>
        <v/>
      </c>
      <c r="I13" s="8">
        <f>E13-H13</f>
        <v/>
      </c>
      <c r="J13" s="9">
        <f>IF(E13=0,0,I13/E13)</f>
        <v/>
      </c>
    </row>
    <row r="14">
      <c r="A14" s="4" t="inlineStr">
        <is>
          <t>Oct</t>
        </is>
      </c>
      <c r="B14" s="4">
        <f>Model!B5</f>
        <v/>
      </c>
      <c r="C14" s="4">
        <f>Model!B6</f>
        <v/>
      </c>
      <c r="D14" s="8">
        <f>Model!B23</f>
        <v/>
      </c>
      <c r="E14" s="8">
        <f>B14*D14</f>
        <v/>
      </c>
      <c r="F14" s="8">
        <f>Model!B41</f>
        <v/>
      </c>
      <c r="G14" s="8">
        <f>Model!B39</f>
        <v/>
      </c>
      <c r="H14" s="8">
        <f>B14*F14+G14</f>
        <v/>
      </c>
      <c r="I14" s="8">
        <f>E14-H14</f>
        <v/>
      </c>
      <c r="J14" s="9">
        <f>IF(E14=0,0,I14/E14)</f>
        <v/>
      </c>
    </row>
    <row r="15">
      <c r="A15" s="4" t="inlineStr">
        <is>
          <t>Nov</t>
        </is>
      </c>
      <c r="B15" s="4">
        <f>Model!B5</f>
        <v/>
      </c>
      <c r="C15" s="4">
        <f>Model!B6</f>
        <v/>
      </c>
      <c r="D15" s="8">
        <f>Model!B23</f>
        <v/>
      </c>
      <c r="E15" s="8">
        <f>B15*D15</f>
        <v/>
      </c>
      <c r="F15" s="8">
        <f>Model!B41</f>
        <v/>
      </c>
      <c r="G15" s="8">
        <f>Model!B39</f>
        <v/>
      </c>
      <c r="H15" s="8">
        <f>B15*F15+G15</f>
        <v/>
      </c>
      <c r="I15" s="8">
        <f>E15-H15</f>
        <v/>
      </c>
      <c r="J15" s="9">
        <f>IF(E15=0,0,I15/E15)</f>
        <v/>
      </c>
    </row>
    <row r="16">
      <c r="A16" s="4" t="inlineStr">
        <is>
          <t>Dec</t>
        </is>
      </c>
      <c r="B16" s="4">
        <f>Model!B5</f>
        <v/>
      </c>
      <c r="C16" s="4">
        <f>Model!B6</f>
        <v/>
      </c>
      <c r="D16" s="8">
        <f>Model!B23</f>
        <v/>
      </c>
      <c r="E16" s="8">
        <f>B16*D16</f>
        <v/>
      </c>
      <c r="F16" s="8">
        <f>Model!B41</f>
        <v/>
      </c>
      <c r="G16" s="8">
        <f>Model!B39</f>
        <v/>
      </c>
      <c r="H16" s="8">
        <f>B16*F16+G16</f>
        <v/>
      </c>
      <c r="I16" s="8">
        <f>E16-H16</f>
        <v/>
      </c>
      <c r="J16" s="9">
        <f>IF(E16=0,0,I16/E16)</f>
        <v/>
      </c>
    </row>
    <row r="17">
      <c r="A17" s="2" t="inlineStr">
        <is>
          <t>Total</t>
        </is>
      </c>
      <c r="B17" s="3" t="n"/>
      <c r="C17" s="3" t="n"/>
      <c r="D17" s="13" t="n"/>
      <c r="E17" s="13">
        <f>SUM(E5:E16)</f>
        <v/>
      </c>
      <c r="F17" s="13" t="n"/>
      <c r="G17" s="13" t="n"/>
      <c r="H17" s="13">
        <f>SUM(H5:H16)</f>
        <v/>
      </c>
      <c r="I17" s="13">
        <f>SUM(I5:I16)</f>
        <v/>
      </c>
      <c r="J17" s="14">
        <f>IF(E17=0,0,I17/E17)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40" customWidth="1" min="3" max="3"/>
  </cols>
  <sheetData>
    <row r="1">
      <c r="A1" s="10" t="inlineStr">
        <is>
          <t>Client Quote Summary</t>
        </is>
      </c>
    </row>
    <row r="3">
      <c r="A3" s="2" t="inlineStr">
        <is>
          <t>Volume</t>
        </is>
      </c>
      <c r="B3" s="3" t="n"/>
      <c r="C3" s="3" t="n"/>
    </row>
    <row r="4">
      <c r="A4" s="4" t="inlineStr">
        <is>
          <t>Users</t>
        </is>
      </c>
      <c r="B4" s="4">
        <f>Model!B5</f>
        <v/>
      </c>
      <c r="C4" s="4" t="n"/>
    </row>
    <row r="5">
      <c r="A5" s="4" t="inlineStr">
        <is>
          <t>Sessions per user</t>
        </is>
      </c>
      <c r="B5" s="4">
        <f>Model!B6</f>
        <v/>
      </c>
      <c r="C5" s="4" t="n"/>
    </row>
    <row r="6">
      <c r="A6" s="4" t="inlineStr">
        <is>
          <t>Session minutes</t>
        </is>
      </c>
      <c r="B6" s="4">
        <f>Model!B7</f>
        <v/>
      </c>
      <c r="C6" s="4" t="n"/>
    </row>
    <row r="7">
      <c r="A7" s="4" t="inlineStr">
        <is>
          <t>Total sessions</t>
        </is>
      </c>
      <c r="B7" s="4">
        <f>Model!B26</f>
        <v/>
      </c>
      <c r="C7" s="4" t="n"/>
    </row>
    <row r="8">
      <c r="A8" s="4" t="n"/>
      <c r="B8" s="4" t="n"/>
      <c r="C8" s="4" t="n"/>
    </row>
    <row r="9">
      <c r="A9" s="2" t="inlineStr">
        <is>
          <t>Costs</t>
        </is>
      </c>
      <c r="B9" s="3" t="n"/>
      <c r="C9" s="3" t="n"/>
    </row>
    <row r="10">
      <c r="A10" s="4" t="inlineStr">
        <is>
          <t>Total run cost</t>
        </is>
      </c>
      <c r="B10" s="8">
        <f>Model!B40</f>
        <v/>
      </c>
      <c r="C10" s="4" t="n"/>
    </row>
    <row r="11">
      <c r="A11" s="4" t="inlineStr">
        <is>
          <t>Cost per user</t>
        </is>
      </c>
      <c r="B11" s="8">
        <f>Model!B42</f>
        <v/>
      </c>
      <c r="C11" s="4" t="n"/>
    </row>
    <row r="12">
      <c r="A12" s="4" t="inlineStr">
        <is>
          <t>Cost per session</t>
        </is>
      </c>
      <c r="B12" s="8">
        <f>Model!B43</f>
        <v/>
      </c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2" t="inlineStr">
        <is>
          <t>Commercials</t>
        </is>
      </c>
      <c r="B15" s="3" t="n"/>
      <c r="C15" s="3" t="n"/>
    </row>
    <row r="16">
      <c r="A16" s="4" t="inlineStr">
        <is>
          <t>Price per user (monthly)</t>
        </is>
      </c>
      <c r="B16" s="8">
        <f>Model!B23</f>
        <v/>
      </c>
      <c r="C16" s="4" t="n"/>
    </row>
    <row r="17">
      <c r="A17" s="4" t="inlineStr">
        <is>
          <t>Total revenue</t>
        </is>
      </c>
      <c r="B17" s="8">
        <f>Model!B45</f>
        <v/>
      </c>
      <c r="C17" s="4" t="n"/>
    </row>
    <row r="18">
      <c r="A18" s="4" t="inlineStr">
        <is>
          <t>Gross profit</t>
        </is>
      </c>
      <c r="B18" s="8">
        <f>Model!B46</f>
        <v/>
      </c>
      <c r="C18" s="4" t="n"/>
    </row>
    <row r="19">
      <c r="A19" s="4" t="inlineStr">
        <is>
          <t>Gross margin %</t>
        </is>
      </c>
      <c r="B19" s="9">
        <f>Model!B47</f>
        <v/>
      </c>
      <c r="C19" s="4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34" customWidth="1" min="3" max="3"/>
  </cols>
  <sheetData>
    <row r="1">
      <c r="A1" s="1" t="inlineStr">
        <is>
          <t>Simple Pricing (Monthly)</t>
        </is>
      </c>
    </row>
    <row r="2">
      <c r="A2" t="inlineStr">
        <is>
          <t>For up to 30 sessions/user, 15 mins/session. Edit yellow cells only.</t>
        </is>
      </c>
    </row>
    <row r="4">
      <c r="A4" s="2" t="inlineStr">
        <is>
          <t>Assumptions</t>
        </is>
      </c>
      <c r="B4" s="3" t="n"/>
      <c r="C4" s="3" t="n"/>
    </row>
    <row r="5">
      <c r="A5" s="4" t="inlineStr">
        <is>
          <t>Sessions per user (monthly)</t>
        </is>
      </c>
      <c r="B5" s="7">
        <f>Model!B6</f>
        <v/>
      </c>
      <c r="C5" s="4" t="inlineStr">
        <is>
          <t>Default from Model</t>
        </is>
      </c>
    </row>
    <row r="6">
      <c r="A6" s="4" t="inlineStr">
        <is>
          <t>Session duration (minutes)</t>
        </is>
      </c>
      <c r="B6" s="7">
        <f>Model!B7</f>
        <v/>
      </c>
      <c r="C6" s="4" t="inlineStr">
        <is>
          <t>Default from Model</t>
        </is>
      </c>
    </row>
    <row r="7">
      <c r="A7" s="4" t="inlineStr">
        <is>
          <t>Run cost per user (monthly)</t>
        </is>
      </c>
      <c r="B7" s="8">
        <f>Model!B42</f>
        <v/>
      </c>
      <c r="C7" s="4" t="inlineStr">
        <is>
          <t>Includes AI + allocated hosting</t>
        </is>
      </c>
    </row>
    <row r="8">
      <c r="A8" s="4" t="inlineStr">
        <is>
          <t>Suggested price per individual user</t>
        </is>
      </c>
      <c r="B8" s="6" t="n">
        <v>19</v>
      </c>
      <c r="C8" s="4" t="inlineStr">
        <is>
          <t>You can change this</t>
        </is>
      </c>
    </row>
    <row r="9">
      <c r="A9" s="4" t="inlineStr">
        <is>
          <t>Suggested price per user (1000-user client)</t>
        </is>
      </c>
      <c r="B9" s="6" t="n">
        <v>14</v>
      </c>
      <c r="C9" s="4" t="inlineStr">
        <is>
          <t>Volume pricing</t>
        </is>
      </c>
    </row>
    <row r="10">
      <c r="A10" s="4" t="inlineStr">
        <is>
          <t>Enterprise user count</t>
        </is>
      </c>
      <c r="B10" s="5" t="n">
        <v>1000</v>
      </c>
      <c r="C10" s="4" t="inlineStr">
        <is>
          <t>Client size</t>
        </is>
      </c>
    </row>
    <row r="13">
      <c r="A13" s="2" t="inlineStr">
        <is>
          <t>Single User (1 user)</t>
        </is>
      </c>
      <c r="B13" s="3" t="n"/>
      <c r="C13" s="3" t="n"/>
    </row>
    <row r="14">
      <c r="A14" s="4" t="inlineStr">
        <is>
          <t>Cost</t>
        </is>
      </c>
      <c r="B14" s="8">
        <f>B7</f>
        <v/>
      </c>
      <c r="C14" s="4" t="inlineStr"/>
    </row>
    <row r="15">
      <c r="A15" s="4" t="inlineStr">
        <is>
          <t>Price</t>
        </is>
      </c>
      <c r="B15" s="8">
        <f>B8</f>
        <v/>
      </c>
      <c r="C15" s="4" t="inlineStr"/>
    </row>
    <row r="16">
      <c r="A16" s="4" t="inlineStr">
        <is>
          <t>Gross profit</t>
        </is>
      </c>
      <c r="B16" s="8">
        <f>B15-B14</f>
        <v/>
      </c>
      <c r="C16" s="4" t="inlineStr"/>
    </row>
    <row r="17">
      <c r="A17" s="4" t="inlineStr">
        <is>
          <t>Gross margin %</t>
        </is>
      </c>
      <c r="B17" s="9">
        <f>IF(B15=0,0,B16/B15)</f>
        <v/>
      </c>
      <c r="C17" s="4" t="inlineStr"/>
    </row>
    <row r="20">
      <c r="A20" s="2" t="inlineStr">
        <is>
          <t>1000 Users (or value in Enterprise user count)</t>
        </is>
      </c>
      <c r="B20" s="3" t="n"/>
      <c r="C20" s="3" t="n"/>
    </row>
    <row r="21">
      <c r="A21" s="4" t="inlineStr">
        <is>
          <t>Total cost</t>
        </is>
      </c>
      <c r="B21" s="8">
        <f>B7*B10</f>
        <v/>
      </c>
      <c r="C21" s="4" t="inlineStr"/>
    </row>
    <row r="22">
      <c r="A22" s="4" t="inlineStr">
        <is>
          <t>Total price</t>
        </is>
      </c>
      <c r="B22" s="8">
        <f>B9*B10</f>
        <v/>
      </c>
      <c r="C22" s="4" t="inlineStr"/>
    </row>
    <row r="23">
      <c r="A23" s="4" t="inlineStr">
        <is>
          <t>Gross profit</t>
        </is>
      </c>
      <c r="B23" s="8">
        <f>B22-B21</f>
        <v/>
      </c>
      <c r="C23" s="4" t="inlineStr"/>
    </row>
    <row r="24">
      <c r="A24" s="4" t="inlineStr">
        <is>
          <t>Gross margin %</t>
        </is>
      </c>
      <c r="B24" s="9">
        <f>IF(B22=0,0,B23/B22)</f>
        <v/>
      </c>
      <c r="C24" s="4" t="inlineStr"/>
    </row>
    <row r="25">
      <c r="A25" s="4" t="inlineStr">
        <is>
          <t>Price per user</t>
        </is>
      </c>
      <c r="B25" s="8">
        <f>B9</f>
        <v/>
      </c>
      <c r="C25" s="4" t="inlineStr"/>
    </row>
    <row r="26">
      <c r="A26" s="4" t="inlineStr">
        <is>
          <t>Profit per user</t>
        </is>
      </c>
      <c r="B26" s="8">
        <f>IF(B10=0,0,B23/B10)</f>
        <v/>
      </c>
      <c r="C26" s="4" t="inlineStr"/>
    </row>
    <row r="29">
      <c r="A29" s="2" t="inlineStr">
        <is>
          <t>Quick Recommendation</t>
        </is>
      </c>
      <c r="B29" s="3" t="n"/>
      <c r="C29" s="3" t="n"/>
    </row>
    <row r="30">
      <c r="A30" s="4" t="inlineStr">
        <is>
          <t>Recommended individual price</t>
        </is>
      </c>
      <c r="B30" s="8">
        <f>B8</f>
        <v/>
      </c>
      <c r="C30" s="4" t="n"/>
    </row>
    <row r="31">
      <c r="A31" s="4" t="inlineStr">
        <is>
          <t>Recommended 1000-user client price per user</t>
        </is>
      </c>
      <c r="B31" s="8">
        <f>B9</f>
        <v/>
      </c>
      <c r="C31" s="4" t="n"/>
    </row>
    <row r="32">
      <c r="A32" s="4" t="inlineStr">
        <is>
          <t>Recommended total monthly quote for 1000 users</t>
        </is>
      </c>
      <c r="B32" s="8">
        <f>B22</f>
        <v/>
      </c>
      <c r="C32" s="4" t="n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2026-02-12T18:44:29Z</dcterms:created>
  <dcterms:modified xsi:type="dcterms:W3CDTF">2026-02-12T19:16:06Z</dcterms:modified>
</cp:coreProperties>
</file>